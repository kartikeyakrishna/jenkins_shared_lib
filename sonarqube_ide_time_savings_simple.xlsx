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cf06206d7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 Savings" sheetId="1" r:id="R28cad366eef5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 &quot;hours&quot;"/>
    <x:numFmt numFmtId="202" formatCode="0.0"/>
  </x:numFmts>
  <x:fonts count="12">
    <x:font>
      <x:sz val="11"/>
      <x:name val="Carlito"/>
    </x:font>
    <x:font>
      <x:b/>
      <x:sz val="20"/>
      <x:color rgb="FFFFFFFF"/>
      <x:name val="Carlito"/>
    </x:font>
    <x:font>
      <x:sz val="10"/>
      <x:color rgb="FF475569"/>
      <x:name val="Carlito"/>
    </x:font>
    <x:font>
      <x:b/>
      <x:sz val="11"/>
      <x:color rgb="FF0F766E"/>
      <x:name val="Carlito"/>
    </x:font>
    <x:font>
      <x:b/>
      <x:sz val="11"/>
      <x:color rgb="FF111827"/>
      <x:name val="Carlito"/>
    </x:font>
    <x:font>
      <x:sz val="9"/>
      <x:color rgb="FF64748B"/>
      <x:name val="Carlito"/>
    </x:font>
    <x:font>
      <x:b/>
      <x:sz val="10"/>
      <x:color rgb="FF475569"/>
      <x:name val="Carlito"/>
    </x:font>
    <x:font>
      <x:b/>
      <x:sz val="18"/>
      <x:color rgb="FF0F172A"/>
      <x:name val="Carlito"/>
    </x:font>
    <x:font>
      <x:b/>
      <x:sz val="22"/>
      <x:color rgb="FFFFFFFF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sz val="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  <x:xf numFmtId="201" fontId="8" fillId="8" borderId="0" xfId="0" applyNumberFormat="1" applyFont="1" applyFill="1" applyBorder="1" applyAlignment="1">
      <x:alignment horizontal="center" vertical="center"/>
    </x:xf>
    <x:xf numFmtId="201" fontId="8" fillId="8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9" fillId="11" borderId="1" xfId="0" applyNumberFormat="1" applyFont="1" applyFill="1" applyBorder="1"/>
    <x:xf numFmtId="0" fontId="9" fillId="11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731b426834ba3" /><Relationship Type="http://schemas.openxmlformats.org/officeDocument/2006/relationships/theme" Target="/xl/theme/theme1.xml" Id="R1e0d331014194a86" /><Relationship Type="http://schemas.openxmlformats.org/officeDocument/2006/relationships/sharedStrings" Target="/xl/sharedStrings.xml" Id="Rf861c33e16334075" /><Relationship Type="http://schemas.openxmlformats.org/officeDocument/2006/relationships/worksheet" Target="/xl/worksheets/sheet1.xml" Id="R28cad366eef549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a64137aed541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Final Scan Impact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Without IDE</c:v>
          </c:tx>
          <c:cat>
            <c:strRef>
              <c:f>'Time Savings'!$F$16:$F$17</c:f>
              <c:strCache>
                <c:ptCount val="0"/>
              </c:strCache>
            </c:strRef>
          </c:cat>
          <c:val>
            <c:numRef>
              <c:f>'Time Savings'!$G$16:$G$17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With IDE</c:v>
          </c:tx>
          <c:cat>
            <c:strRef>
              <c:f>'Time Savings'!$F$16:$F$17</c:f>
              <c:strCache>
                <c:ptCount val="0"/>
              </c:strCache>
            </c:strRef>
          </c:cat>
          <c:val>
            <c:numRef>
              <c:f>'Time Savings'!$H$16:$H$17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18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a64137aed5414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db3012a9e044a9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9" hidden="0" customWidth="1"/>
    <x:col min="3" max="3" width="33" hidden="0" customWidth="1"/>
    <x:col min="4" max="4" width="31" hidden="0" customWidth="1"/>
    <x:col min="5" max="5" width="17" hidden="0" customWidth="1"/>
    <x:col min="6" max="6" width="22" hidden="0" customWidth="1"/>
    <x:col min="7" max="7" width="19" hidden="0" customWidth="1"/>
    <x:col min="8" max="8" width="19" hidden="0" customWidth="1"/>
    <x:col min="10" max="10" width="2" hidden="0" customWidth="1"/>
    <x:col min="11" max="11" width="2" hidden="0" customWidth="1"/>
  </x:cols>
  <x:sheetData>
    <x:row r="1" ht="34" customHeight="1">
      <x:c r="A1" s="4" t="str">
        <x:v>SonarQube for IDE — Estimated Man-Hour Savings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Synthetic model: on-the-fly IDE analysis reduces the number of issues left for the mandatory final SonarQube scan.</x:v>
      </x:c>
      <x:c r="B2" s="10"/>
      <x:c r="C2" s="10"/>
      <x:c r="D2" s="10"/>
      <x:c r="E2" s="10"/>
      <x:c r="F2" s="10"/>
      <x:c r="G2" s="10"/>
      <x:c r="H2" s="10"/>
      <x:c r="J2" s="85" t="str">
        <x:v>Annual final scans</x:v>
      </x:c>
      <x:c r="K2" s="85" t="n">
        <x:f>B5*B6*12</x:f>
        <x:v>600</x:v>
      </x:c>
    </x:row>
    <x:row r="3">
      <x:c r="J3" s="85" t="str">
        <x:v>Annual issues without IDE</x:v>
      </x:c>
      <x:c r="K3" s="85" t="n">
        <x:f>K2*B7</x:f>
        <x:v>7200</x:v>
      </x:c>
    </x:row>
    <x:row r="4">
      <x:c r="A4" s="16" t="str">
        <x:v>Editable assumptions</x:v>
      </x:c>
      <x:c r="B4" s="16"/>
      <x:c r="C4" s="16"/>
      <x:c r="E4" s="16" t="str">
        <x:v>Estimated annual impact</x:v>
      </x:c>
      <x:c r="F4" s="16"/>
      <x:c r="G4" s="16"/>
      <x:c r="H4" s="16"/>
      <x:c r="J4" s="85" t="str">
        <x:v>Issues caught in IDE</x:v>
      </x:c>
      <x:c r="K4" s="85" t="n">
        <x:f>K3*B8</x:f>
        <x:v>4320</x:v>
      </x:c>
    </x:row>
    <x:row r="5" ht="24" customHeight="1">
      <x:c r="A5" s="21" t="str">
        <x:v>Developers</x:v>
      </x:c>
      <x:c r="B5" s="25" t="n">
        <x:v>25</x:v>
      </x:c>
      <x:c r="C5" s="31" t="str">
        <x:v>Team size</x:v>
      </x:c>
      <x:c r="E5" s="36" t="str">
        <x:v>Issues reaching final scan</x:v>
      </x:c>
      <x:c r="F5" s="36"/>
      <x:c r="G5" s="36" t="str">
        <x:v>Issues avoided at final scan</x:v>
      </x:c>
      <x:c r="H5" s="36"/>
      <x:c r="J5" s="85" t="str">
        <x:v>Issues left for final scan</x:v>
      </x:c>
      <x:c r="K5" s="85" t="n">
        <x:f>K3-K4</x:f>
        <x:v>2880</x:v>
      </x:c>
    </x:row>
    <x:row r="6" ht="24" customHeight="1">
      <x:c r="A6" s="21" t="str">
        <x:v>Final scans per developer / month</x:v>
      </x:c>
      <x:c r="B6" s="25" t="n">
        <x:v>2</x:v>
      </x:c>
      <x:c r="C6" s="31" t="str">
        <x:v>Mandatory or release scans</x:v>
      </x:c>
      <x:c r="E6" s="44" t="n">
        <x:f>K5</x:f>
        <x:v>2880</x:v>
      </x:c>
      <x:c r="F6" s="44"/>
      <x:c r="G6" s="44" t="n">
        <x:f>K4</x:f>
        <x:v>4320</x:v>
      </x:c>
      <x:c r="H6" s="44"/>
      <x:c r="J6" s="85" t="str">
        <x:v>Hours fixing in IDE</x:v>
      </x:c>
      <x:c r="K6" s="85" t="n">
        <x:f>K4*B9/60</x:f>
        <x:v>576</x:v>
      </x:c>
    </x:row>
    <x:row r="7" ht="24" customHeight="1">
      <x:c r="A7" s="21" t="str">
        <x:v>Issues found per final scan without IDE</x:v>
      </x:c>
      <x:c r="B7" s="25" t="n">
        <x:v>12</x:v>
      </x:c>
      <x:c r="C7" s="31" t="str">
        <x:v>Average findings reaching scan</x:v>
      </x:c>
      <x:c r="J7" s="85" t="str">
        <x:v>Hours fixing after scan without IDE</x:v>
      </x:c>
      <x:c r="K7" s="85" t="n">
        <x:f>K3*B10/60</x:f>
        <x:v>2400</x:v>
      </x:c>
    </x:row>
    <x:row r="8" ht="24" customHeight="1">
      <x:c r="A8" s="21" t="str">
        <x:v>Issues caught earlier by IDE</x:v>
      </x:c>
      <x:c r="B8" s="29" t="n">
        <x:v>0.6</x:v>
      </x:c>
      <x:c r="C8" s="31" t="str">
        <x:v>Share fixed while coding</x:v>
      </x:c>
      <x:c r="E8" s="36" t="str">
        <x:v>Hours without IDE</x:v>
      </x:c>
      <x:c r="F8" s="36"/>
      <x:c r="G8" s="36" t="str">
        <x:v>Hours with IDE</x:v>
      </x:c>
      <x:c r="H8" s="36"/>
      <x:c r="J8" s="85" t="str">
        <x:v>Hours fixing after scan with IDE</x:v>
      </x:c>
      <x:c r="K8" s="85" t="n">
        <x:f>K5*B10/60</x:f>
        <x:v>960</x:v>
      </x:c>
    </x:row>
    <x:row r="9" ht="24" customHeight="1">
      <x:c r="A9" s="21" t="str">
        <x:v>Avg time to fix issue during coding (min)</x:v>
      </x:c>
      <x:c r="B9" s="25" t="n">
        <x:v>8</x:v>
      </x:c>
      <x:c r="C9" s="31" t="str">
        <x:v>Context is still fresh</x:v>
      </x:c>
      <x:c r="E9" s="44" t="n">
        <x:f>K10</x:f>
        <x:v>2550</x:v>
      </x:c>
      <x:c r="F9" s="44"/>
      <x:c r="G9" s="44" t="n">
        <x:f>K11</x:f>
        <x:v>1686</x:v>
      </x:c>
      <x:c r="H9" s="44"/>
      <x:c r="J9" s="85" t="str">
        <x:v>Annual scan/review overhead hours</x:v>
      </x:c>
      <x:c r="K9" s="85" t="n">
        <x:f>K2*B11/60</x:f>
        <x:v>150</x:v>
      </x:c>
    </x:row>
    <x:row r="10" ht="24" customHeight="1">
      <x:c r="A10" s="21" t="str">
        <x:v>Avg time to fix issue after final scan (min)</x:v>
      </x:c>
      <x:c r="B10" s="25" t="n">
        <x:v>20</x:v>
      </x:c>
      <x:c r="C10" s="31" t="str">
        <x:v>Includes context switching / rework</x:v>
      </x:c>
      <x:c r="J10" s="85" t="str">
        <x:v>Total hours without IDE</x:v>
      </x:c>
      <x:c r="K10" s="85" t="n">
        <x:f>K7+K9</x:f>
        <x:v>2550</x:v>
      </x:c>
    </x:row>
    <x:row r="11" ht="24" customHeight="1">
      <x:c r="A11" s="21" t="str">
        <x:v>Report + re-scan overhead per final scan (min)</x:v>
      </x:c>
      <x:c r="B11" s="25" t="n">
        <x:v>15</x:v>
      </x:c>
      <x:c r="C11" s="31" t="str">
        <x:v>Review, rerun, verify</x:v>
      </x:c>
      <x:c r="E11" s="36" t="str">
        <x:v>Estimated annual engineering time saved</x:v>
      </x:c>
      <x:c r="F11" s="36"/>
      <x:c r="G11" s="36"/>
      <x:c r="H11" s="36"/>
      <x:c r="J11" s="85" t="str">
        <x:v>Total hours with IDE</x:v>
      </x:c>
      <x:c r="K11" s="85" t="n">
        <x:f>K6+K8+K9</x:f>
        <x:v>1686</x:v>
      </x:c>
    </x:row>
    <x:row r="12">
      <x:c r="E12" s="57" t="n">
        <x:f>K12</x:f>
        <x:v>864</x:v>
      </x:c>
      <x:c r="F12" s="57"/>
      <x:c r="G12" s="57"/>
      <x:c r="H12" s="57"/>
      <x:c r="J12" s="85" t="str">
        <x:v>Annual hours saved</x:v>
      </x:c>
      <x:c r="K12" s="85" t="n">
        <x:f>K10-K11</x:f>
        <x:v>864</x:v>
      </x:c>
    </x:row>
    <x:row r="13">
      <x:c r="J13" s="85" t="str">
        <x:v>Reduction in final-scan issues</x:v>
      </x:c>
      <x:c r="K13" s="85" t="n">
        <x:f>IF(K3=0,0,K4/K3)</x:f>
        <x:v>0.6</x:v>
      </x:c>
    </x:row>
    <x:row r="14">
      <x:c r="A14" s="16" t="str">
        <x:v>Workflow comparison</x:v>
      </x:c>
      <x:c r="B14" s="16"/>
      <x:c r="C14" s="16"/>
      <x:c r="D14" s="16"/>
      <x:c r="E14" s="16"/>
      <x:c r="F14" s="16"/>
      <x:c r="G14" s="16"/>
      <x:c r="H14" s="16"/>
    </x:row>
    <x:row r="15">
      <x:c r="A15" s="60" t="str">
        <x:v>Step</x:v>
      </x:c>
      <x:c r="B15" s="60" t="str">
        <x:v>Without IDE</x:v>
      </x:c>
      <x:c r="C15" s="60" t="str">
        <x:v>With IDE</x:v>
      </x:c>
      <x:c r="D15" s="60" t="str">
        <x:v>Why it matters</x:v>
      </x:c>
      <x:c r="F15" s="73" t="str">
        <x:v>Metric</x:v>
      </x:c>
      <x:c r="G15" s="73" t="str">
        <x:v>Without IDE</x:v>
      </x:c>
      <x:c r="H15" s="73" t="str">
        <x:v>With IDE</x:v>
      </x:c>
    </x:row>
    <x:row r="16" ht="42" customHeight="1">
      <x:c r="A16" s="64" t="str">
        <x:v>1. Developer writes code</x:v>
      </x:c>
      <x:c r="B16" s="67" t="str">
        <x:v>No Sonar feedback</x:v>
      </x:c>
      <x:c r="C16" s="69" t="str">
        <x:v>Issues flagged on the fly</x:v>
      </x:c>
      <x:c r="D16" s="64" t="str">
        <x:v>Fix while context is fresh</x:v>
      </x:c>
      <x:c r="F16" s="20" t="str">
        <x:v>Issues at final scan</x:v>
      </x:c>
      <x:c r="G16" s="77" t="n">
        <x:f>K3</x:f>
        <x:v>7200</x:v>
      </x:c>
      <x:c r="H16" s="77" t="n">
        <x:f>K5</x:f>
        <x:v>2880</x:v>
      </x:c>
    </x:row>
    <x:row r="17" ht="42" customHeight="1">
      <x:c r="A17" s="64" t="str">
        <x:v>2. Final SonarQube scan</x:v>
      </x:c>
      <x:c r="B17" s="67" t="str">
        <x:v>Full issue volume appears</x:v>
      </x:c>
      <x:c r="C17" s="69" t="str">
        <x:v>Fewer issues remain</x:v>
      </x:c>
      <x:c r="D17" s="64" t="str">
        <x:v>Less remediation backlog</x:v>
      </x:c>
      <x:c r="F17" s="20" t="str">
        <x:v>Annual engineering hours</x:v>
      </x:c>
      <x:c r="G17" s="77" t="n">
        <x:f>K10</x:f>
        <x:v>2550</x:v>
      </x:c>
      <x:c r="H17" s="77" t="n">
        <x:f>K11</x:f>
        <x:v>1686</x:v>
      </x:c>
    </x:row>
    <x:row r="18" ht="42" customHeight="1">
      <x:c r="A18" s="64" t="str">
        <x:v>3. Remediation</x:v>
      </x:c>
      <x:c r="B18" s="67" t="str">
        <x:v>Developer re-opens old code</x:v>
      </x:c>
      <x:c r="C18" s="69" t="str">
        <x:v>Mostly remaining / server-only findings</x:v>
      </x:c>
      <x:c r="D18" s="64" t="str">
        <x:v>Less context switching</x:v>
      </x:c>
    </x:row>
    <x:row r="19" ht="42" customHeight="1">
      <x:c r="A19" s="64" t="str">
        <x:v>4. Re-scan / verification</x:v>
      </x:c>
      <x:c r="B19" s="67" t="str">
        <x:v>More fix-and-retest cycles</x:v>
      </x:c>
      <x:c r="C19" s="69" t="str">
        <x:v>Fewer repeat cycles</x:v>
      </x:c>
      <x:c r="D19" s="64" t="str">
        <x:v>Faster path to release</x:v>
      </x:c>
    </x:row>
    <x:row r="21">
      <x:c r="A21" s="16" t="str">
        <x:v>Key takeaway</x:v>
      </x:c>
      <x:c r="B21" s="16"/>
      <x:c r="C21" s="16"/>
      <x:c r="D21" s="16"/>
      <x:c r="E21" s="16"/>
      <x:c r="F21" s="16"/>
      <x:c r="G21" s="16"/>
      <x:c r="H21" s="16"/>
    </x:row>
    <x:row r="22" ht="28" customHeight="1">
      <x:c r="A22" s="81" t="str">
        <x:v>The mandatory SonarQube scan still runs for Security Hotspots, server-side checks and release governance. The IDE extension shifts many fixable issues earlier, so the final scan becomes a verification step instead of the first time developers see the problem.</x:v>
      </x:c>
      <x:c r="B22" s="81"/>
      <x:c r="C22" s="81"/>
      <x:c r="D22" s="81"/>
      <x:c r="E22" s="81"/>
      <x:c r="F22" s="81"/>
      <x:c r="G22" s="81"/>
      <x:c r="H22" s="81"/>
    </x:row>
    <x:row r="23" ht="28" customHeight="1">
      <x:c r="A23" s="81"/>
      <x:c r="B23" s="81"/>
      <x:c r="C23" s="81"/>
      <x:c r="D23" s="81"/>
      <x:c r="E23" s="81"/>
      <x:c r="F23" s="81"/>
      <x:c r="G23" s="81"/>
      <x:c r="H23" s="81"/>
    </x:row>
  </x:sheetData>
  <x:mergeCells>
    <x:mergeCell ref="A1:H1"/>
    <x:mergeCell ref="A2:H2"/>
    <x:mergeCell ref="A4:C4"/>
    <x:mergeCell ref="E4:H4"/>
    <x:mergeCell ref="E5:F5"/>
    <x:mergeCell ref="G5:H5"/>
    <x:mergeCell ref="E8:F8"/>
    <x:mergeCell ref="G8:H8"/>
    <x:mergeCell ref="E6:F6"/>
    <x:mergeCell ref="G6:H6"/>
    <x:mergeCell ref="E9:F9"/>
    <x:mergeCell ref="G9:H9"/>
    <x:mergeCell ref="E11:H11"/>
    <x:mergeCell ref="E12:H12"/>
    <x:mergeCell ref="A14:H14"/>
    <x:mergeCell ref="A21:H21"/>
    <x:mergeCell ref="A22:H23"/>
  </x:mergeCells>
  <x:pageMargins left="0.7" right="0.7" top="0.75" bottom="0.75" header="0.3" footer="0.3"/>
  <x:drawing xmlns:r="http://schemas.openxmlformats.org/officeDocument/2006/relationships" r:id="R12db3012a9e044a9"/>
</x:worksheet>
</file>