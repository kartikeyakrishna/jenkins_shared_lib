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904678848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1a409d3dd4b349e2"/>
    <x:sheet xmlns:r="http://schemas.openxmlformats.org/officeDocument/2006/relationships" name="Assumptions" sheetId="2" r:id="Rd1f382a5c8a44bb9"/>
    <x:sheet xmlns:r="http://schemas.openxmlformats.org/officeDocument/2006/relationships" name="Cost Model" sheetId="3" r:id="Rbac0dbc1bc5f4679"/>
    <x:sheet xmlns:r="http://schemas.openxmlformats.org/officeDocument/2006/relationships" name="Scenarios" sheetId="4" r:id="Re149236f4ece45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$#,##0.00"/>
    <x:numFmt numFmtId="202" formatCode="0.0"/>
    <x:numFmt numFmtId="203" formatCode="$#,##0"/>
    <x:numFmt numFmtId="204" formatCode="0"/>
    <x:numFmt numFmtId="205" formatCode="0.0 &quot;months&quot;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i/>
      <x:sz val="11"/>
      <x:color rgb="FF475569"/>
      <x:name val="Carlito"/>
    </x:font>
    <x:font>
      <x:b/>
      <x:sz val="20"/>
      <x:color rgb="FFFFFFFF"/>
      <x:name val="Carlito"/>
    </x:font>
    <x:font>
      <x:b/>
      <x:sz val="10"/>
      <x:color rgb="FFFFFFFF"/>
      <x:name val="Carlito"/>
    </x:font>
    <x:font>
      <x:b/>
      <x:sz val="22"/>
      <x:color rgb="FF0F172A"/>
      <x:name val="Carlito"/>
    </x:font>
    <x:font>
      <x:b/>
      <x:sz val="12"/>
      <x:color rgb="FFFFFFFF"/>
      <x:name val="Carlito"/>
    </x:font>
    <x:font>
      <x:sz val="11"/>
      <x:color rgb="FF0F172A"/>
      <x:name val="Carlito"/>
    </x:font>
    <x:font>
      <x:sz val="10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CCFBF1"/>
      </x:patternFill>
    </x:fill>
  </x:fills>
  <x:borders count="2">
    <x:border/>
    <x:border/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0" fillId="6" borderId="0" xfId="0" applyNumberFormat="1" applyFont="1" applyFill="1" applyBorder="1"/>
    <x:xf numFmtId="200" fontId="0" fillId="6" borderId="0" xfId="0" applyNumberFormat="1" applyFont="1" applyFill="1" applyBorder="1"/>
    <x:xf numFmtId="203" fontId="0" fillId="6" borderId="0" xfId="0" applyNumberFormat="1" applyFont="1" applyFill="1" applyBorder="1"/>
    <x:xf numFmtId="204" fontId="0" fillId="6" borderId="0" xfId="0" applyNumberFormat="1" applyFont="1" applyFill="1" applyBorder="1"/>
    <x:xf numFmtId="202" fontId="0" fillId="6" borderId="1" xfId="0" applyNumberFormat="1" applyFont="1" applyFill="1" applyBorder="1"/>
    <x:xf numFmtId="200" fontId="0" fillId="6" borderId="1" xfId="0" applyNumberFormat="1" applyFont="1" applyFill="1" applyBorder="1"/>
    <x:xf numFmtId="203" fontId="0" fillId="6" borderId="1" xfId="0" applyNumberFormat="1" applyFont="1" applyFill="1" applyBorder="1"/>
    <x:xf numFmtId="204" fontId="0" fillId="6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6" borderId="0" xfId="0" applyNumberFormat="1" applyFont="1" applyFill="1" applyBorder="1" applyAlignment="1">
      <x:alignment wrapText="1"/>
    </x:xf>
    <x:xf numFmtId="204" fontId="0" fillId="6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2" fontId="0" fillId="0" borderId="1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3" fontId="0" fillId="6" borderId="1" xfId="0" applyNumberFormat="1" applyFont="1" applyFill="1" applyBorder="1" applyAlignment="1">
      <x:alignment wrapText="1"/>
    </x:xf>
    <x:xf numFmtId="204" fontId="0" fillId="6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horizontal="center" vertical="center"/>
    </x:xf>
    <x:xf numFmtId="200" fontId="8" fillId="6" borderId="0" xfId="0" applyNumberFormat="1" applyFont="1" applyFill="1" applyBorder="1" applyAlignment="1">
      <x:alignment horizontal="center" vertical="center"/>
    </x:xf>
    <x:xf numFmtId="200" fontId="8" fillId="6" borderId="1" xfId="0" applyNumberFormat="1" applyFont="1" applyFill="1" applyBorder="1" applyAlignment="1">
      <x:alignment horizontal="center" vertical="center"/>
    </x:xf>
    <x:xf numFmtId="204" fontId="8" fillId="6" borderId="0" xfId="0" applyNumberFormat="1" applyFont="1" applyFill="1" applyBorder="1" applyAlignment="1">
      <x:alignment horizontal="center" vertical="center"/>
    </x:xf>
    <x:xf numFmtId="204" fontId="8" fillId="6" borderId="1" xfId="0" applyNumberFormat="1" applyFont="1" applyFill="1" applyBorder="1" applyAlignment="1">
      <x:alignment horizontal="center" vertical="center"/>
    </x:xf>
    <x:xf numFmtId="203" fontId="8" fillId="6" borderId="0" xfId="0" applyNumberFormat="1" applyFont="1" applyFill="1" applyBorder="1" applyAlignment="1">
      <x:alignment horizontal="center" vertical="center"/>
    </x:xf>
    <x:xf numFmtId="203" fontId="8" fillId="6" borderId="1" xfId="0" applyNumberFormat="1" applyFont="1" applyFill="1" applyBorder="1" applyAlignment="1">
      <x:alignment horizontal="center" vertical="center"/>
    </x:xf>
    <x:xf numFmtId="205" fontId="8" fillId="6" borderId="0" xfId="0" applyNumberFormat="1" applyFont="1" applyFill="1" applyBorder="1" applyAlignment="1">
      <x:alignment horizontal="center" vertical="center"/>
    </x:xf>
    <x:xf numFmtId="205" fontId="8" fillId="6" borderId="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5eb7a32404812" /><Relationship Type="http://schemas.openxmlformats.org/officeDocument/2006/relationships/theme" Target="/xl/theme/theme1.xml" Id="Rbc87cbbb8c284782" /><Relationship Type="http://schemas.openxmlformats.org/officeDocument/2006/relationships/sharedStrings" Target="/xl/sharedStrings.xml" Id="R960aa6bab0464ec2" /><Relationship Type="http://schemas.openxmlformats.org/officeDocument/2006/relationships/worksheet" Target="/xl/worksheets/sheet1.xml" Id="R1a409d3dd4b349e2" /><Relationship Type="http://schemas.openxmlformats.org/officeDocument/2006/relationships/worksheet" Target="/xl/worksheets/sheet2.xml" Id="Rd1f382a5c8a44bb9" /><Relationship Type="http://schemas.openxmlformats.org/officeDocument/2006/relationships/worksheet" Target="/xl/worksheets/sheet3.xml" Id="Rbac0dbc1bc5f4679" /><Relationship Type="http://schemas.openxmlformats.org/officeDocument/2006/relationships/worksheet" Target="/xl/worksheets/sheet4.xml" Id="Re149236f4ece45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35aced136d48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Engineering Hours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Without IDE</c:v>
          </c:tx>
          <c:cat>
            <c:strRef>
              <c:f>'Executive Summary'!$A$17</c:f>
              <c:strCache>
                <c:ptCount val="0"/>
              </c:strCache>
            </c:strRef>
          </c:cat>
          <c:val>
            <c:numRef>
              <c:f>'Executive Summary'!$B$17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With IDE</c:v>
          </c:tx>
          <c:cat>
            <c:strRef>
              <c:f>'Executive Summary'!$A$17</c:f>
              <c:strCache>
                <c:ptCount val="0"/>
              </c:strCache>
            </c:strRef>
          </c:cat>
          <c:val>
            <c:numRef>
              <c:f>'Executive Summary'!$C$17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35aced136d48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55882bc0cb8494f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22" hidden="0" customWidth="1"/>
    <x:col min="5" max="5" width="15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74" t="str">
        <x:v>SonarQube for IDE — Estimated Business Impact</x:v>
      </x:c>
      <x:c r="B1" s="74"/>
      <x:c r="C1" s="74"/>
      <x:c r="D1" s="74"/>
      <x:c r="E1" s="74"/>
      <x:c r="F1" s="74"/>
      <x:c r="G1" s="74"/>
      <x:c r="H1" s="74"/>
    </x:row>
    <x:row r="2">
      <x:c r="A2" s="77" t="str">
        <x:v>Standalone IDE analysis shifts eligible issue detection left. Mandatory SonarQube scans still run for Security Hotspots, server-only checks and release governance.</x:v>
      </x:c>
      <x:c r="B2" s="77"/>
      <x:c r="C2" s="77"/>
      <x:c r="D2" s="77"/>
      <x:c r="E2" s="77"/>
      <x:c r="F2" s="77"/>
      <x:c r="G2" s="77"/>
      <x:c r="H2" s="77"/>
    </x:row>
    <x:row r="4">
      <x:c r="A4" s="81" t="str">
        <x:v>Late issues reduced</x:v>
      </x:c>
      <x:c r="B4" s="81"/>
      <x:c r="C4" s="81" t="str">
        <x:v>Engineering hours saved / year</x:v>
      </x:c>
      <x:c r="D4" s="81"/>
      <x:c r="E4" s="81" t="str">
        <x:v>Gross cost saved / year</x:v>
      </x:c>
      <x:c r="F4" s="81"/>
      <x:c r="G4" s="81" t="str">
        <x:v>Payback period</x:v>
      </x:c>
      <x:c r="H4" s="81"/>
    </x:row>
    <x:row r="5">
      <x:c r="A5" s="93" t="n">
        <x:f>'Cost Model'!D8</x:f>
        <x:v>0.5525</x:v>
      </x:c>
      <x:c r="B5" s="93"/>
      <x:c r="C5" s="95" t="n">
        <x:f>'Cost Model'!D16</x:f>
        <x:v>1219.2000000000007</x:v>
      </x:c>
      <x:c r="D5" s="95"/>
      <x:c r="E5" s="97" t="n">
        <x:f>'Cost Model'!D17</x:f>
        <x:v>103632.00000000004</x:v>
      </x:c>
      <x:c r="F5" s="97"/>
      <x:c r="G5" s="99" t="n">
        <x:f>'Cost Model'!D21</x:f>
        <x:v>0.36417322834645655</x:v>
      </x:c>
      <x:c r="H5" s="99"/>
    </x:row>
    <x:row r="6">
      <x:c r="A6" s="93"/>
      <x:c r="B6" s="93"/>
      <x:c r="C6" s="95"/>
      <x:c r="D6" s="95"/>
      <x:c r="E6" s="97"/>
      <x:c r="F6" s="97"/>
      <x:c r="G6" s="99"/>
      <x:c r="H6" s="99"/>
    </x:row>
    <x:row r="8">
      <x:c r="A8" s="101" t="str">
        <x:v>Why the savings occur</x:v>
      </x:c>
      <x:c r="B8" s="101"/>
      <x:c r="C8" s="101"/>
      <x:c r="D8" s="101"/>
      <x:c r="E8" s="101"/>
      <x:c r="F8" s="101"/>
      <x:c r="G8" s="101"/>
      <x:c r="H8" s="101"/>
    </x:row>
    <x:row r="9">
      <x:c r="A9" s="30" t="str">
        <x:v>Without IDE</x:v>
      </x:c>
      <x:c r="B9" s="22" t="str">
        <x:v>Developer completes work</x:v>
      </x:c>
      <x:c r="C9" s="22" t="str">
        <x:v>Runs mandatory scan</x:v>
      </x:c>
      <x:c r="D9" s="22" t="str">
        <x:v>Reads report and re-opens old code</x:v>
      </x:c>
      <x:c r="F9" s="13" t="str">
        <x:v>Pilot recommendation</x:v>
      </x:c>
      <x:c r="G9" s="13"/>
      <x:c r="H9" s="13"/>
    </x:row>
    <x:row r="10">
      <x:c r="A10" s="30" t="str"/>
      <x:c r="B10" s="22" t="str">
        <x:v>Issues are discovered late</x:v>
      </x:c>
      <x:c r="C10" s="22" t="str">
        <x:v>Context has been lost</x:v>
      </x:c>
      <x:c r="D10" s="22" t="str">
        <x:v>Fix + rescan cycle</x:v>
      </x:c>
      <x:c r="F10" s="105" t="str">
        <x:v>Run a 4–6 week standalone pilot. Measure issues caught before final scan, average remediation time, residual scan findings and rescan count. Replace the yellow assumptions with observed data before final ROI approval.</x:v>
      </x:c>
      <x:c r="G10" s="105"/>
      <x:c r="H10" s="105"/>
    </x:row>
    <x:row r="11">
      <x:c r="A11" s="30" t="str"/>
      <x:c r="B11" s="22" t="str"/>
      <x:c r="C11" s="22" t="str"/>
      <x:c r="D11" s="22" t="str"/>
      <x:c r="F11" s="105"/>
      <x:c r="G11" s="105"/>
      <x:c r="H11" s="105"/>
    </x:row>
    <x:row r="12">
      <x:c r="A12" s="30" t="str">
        <x:v>With IDE</x:v>
      </x:c>
      <x:c r="B12" s="22" t="str">
        <x:v>Issue appears while coding</x:v>
      </x:c>
      <x:c r="C12" s="22" t="str">
        <x:v>Fix while context is fresh</x:v>
      </x:c>
      <x:c r="D12" s="22" t="str">
        <x:v>Final scan has fewer findings</x:v>
      </x:c>
      <x:c r="F12" s="105"/>
      <x:c r="G12" s="105"/>
      <x:c r="H12" s="105"/>
    </x:row>
    <x:row r="13">
      <x:c r="A13" s="30" t="str"/>
      <x:c r="B13" s="22" t="str">
        <x:v>Mandatory scan still runs</x:v>
      </x:c>
      <x:c r="C13" s="22" t="str">
        <x:v>Hotspots/server-only checks remain</x:v>
      </x:c>
      <x:c r="D13" s="22" t="str">
        <x:v>Less late rework</x:v>
      </x:c>
      <x:c r="F13" s="105"/>
      <x:c r="G13" s="105"/>
      <x:c r="H13" s="105"/>
    </x:row>
    <x:row r="16">
      <x:c r="A16" s="13" t="str">
        <x:v>Metric</x:v>
      </x:c>
      <x:c r="B16" s="13" t="str">
        <x:v>Without IDE</x:v>
      </x:c>
      <x:c r="C16" s="13" t="str">
        <x:v>With IDE</x:v>
      </x:c>
    </x:row>
    <x:row r="17">
      <x:c r="A17" s="54" t="str">
        <x:v>Engineering hours / month</x:v>
      </x:c>
      <x:c r="B17" s="38" t="n">
        <x:f>'Cost Model'!B12</x:f>
        <x:v>349.1666666666667</x:v>
      </x:c>
      <x:c r="C17" s="38" t="n">
        <x:f>'Cost Model'!C12</x:f>
        <x:v>247.56666666666663</x:v>
      </x:c>
    </x:row>
    <x:row r="18">
      <x:c r="A18" s="54" t="str">
        <x:v>Engineering cost / month</x:v>
      </x:c>
      <x:c r="B18" s="42" t="n">
        <x:f>'Cost Model'!B13</x:f>
        <x:v>29679.166666666668</x:v>
      </x:c>
      <x:c r="C18" s="42" t="n">
        <x:f>'Cost Model'!C13</x:f>
        <x:v>21043.166666666664</x:v>
      </x:c>
    </x:row>
    <x:row r="21">
      <x:c r="A21" s="111" t="str">
        <x:v>Model note: these are synthetic estimates, not vendor claims. Savings come mainly from lower triage/context-switch/rework time and faster fixes while the developer is still in context. The model does not assume the mandatory final SonarQube scan disappears.</x:v>
      </x:c>
      <x:c r="B21" s="111"/>
      <x:c r="C21" s="111"/>
      <x:c r="D21" s="111"/>
      <x:c r="E21" s="111"/>
      <x:c r="F21" s="111"/>
      <x:c r="G21" s="111"/>
      <x:c r="H21" s="111"/>
    </x:row>
    <x:row r="22">
      <x:c r="A22" s="111"/>
      <x:c r="B22" s="111"/>
      <x:c r="C22" s="111"/>
      <x:c r="D22" s="111"/>
      <x:c r="E22" s="111"/>
      <x:c r="F22" s="111"/>
      <x:c r="G22" s="111"/>
      <x:c r="H22" s="111"/>
    </x:row>
    <x:row r="23">
      <x:c r="A23" s="111"/>
      <x:c r="B23" s="111"/>
      <x:c r="C23" s="111"/>
      <x:c r="D23" s="111"/>
      <x:c r="E23" s="111"/>
      <x:c r="F23" s="111"/>
      <x:c r="G23" s="111"/>
      <x:c r="H23" s="111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F9:H9"/>
    <x:mergeCell ref="F10:H13"/>
    <x:mergeCell ref="A21:H23"/>
  </x:mergeCells>
  <x:pageMargins left="0.7" right="0.7" top="0.75" bottom="0.75" header="0.3" footer="0.3"/>
  <x:drawing xmlns:r="http://schemas.openxmlformats.org/officeDocument/2006/relationships" r:id="R655882bc0cb8494f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  <x:col min="3" max="3" width="18" hidden="0" customWidth="1"/>
    <x:col min="4" max="4" width="58" hidden="0" customWidth="1"/>
  </x:cols>
  <x:sheetData>
    <x:row r="1" ht="30" customHeight="1">
      <x:c r="A1" s="4" t="str">
        <x:v>SonarQube for IDE ROI Model — Assumptions</x:v>
      </x:c>
      <x:c r="B1" s="4"/>
      <x:c r="C1" s="4"/>
      <x:c r="D1" s="4"/>
      <x:c r="E1" s="4"/>
      <x:c r="F1" s="4"/>
    </x:row>
    <x:row r="2">
      <x:c r="A2" s="9" t="str">
        <x:v>Synthetic business-case inputs. Replace yellow cells with pilot data before using for budgeting.</x:v>
      </x:c>
      <x:c r="B2" s="9"/>
      <x:c r="C2" s="9"/>
      <x:c r="D2" s="9"/>
      <x:c r="E2" s="9"/>
      <x:c r="F2" s="9"/>
    </x:row>
    <x:row r="4">
      <x:c r="A4" s="15" t="str">
        <x:v>Input</x:v>
      </x:c>
      <x:c r="B4" s="15" t="str">
        <x:v>Value</x:v>
      </x:c>
      <x:c r="C4" s="15" t="str">
        <x:v>Unit</x:v>
      </x:c>
      <x:c r="D4" s="15" t="str">
        <x:v>Rationale / what to replace with</x:v>
      </x:c>
    </x:row>
    <x:row r="5">
      <x:c r="A5" s="30" t="str">
        <x:v>Developers in rollout</x:v>
      </x:c>
      <x:c r="B5" s="23" t="n">
        <x:v>25</x:v>
      </x:c>
      <x:c r="C5" s="22" t="str">
        <x:v>developers</x:v>
      </x:c>
      <x:c r="D5" s="22" t="str">
        <x:v>Number of developers expected to use the extension</x:v>
      </x:c>
    </x:row>
    <x:row r="6">
      <x:c r="A6" s="30" t="str">
        <x:v>Mandatory scan cycles per developer / month</x:v>
      </x:c>
      <x:c r="B6" s="23" t="n">
        <x:v>2</x:v>
      </x:c>
      <x:c r="C6" s="22" t="str">
        <x:v>scans</x:v>
      </x:c>
      <x:c r="D6" s="22" t="str">
        <x:v>Average scan/report/fix cycles requiring SonarQube review</x:v>
      </x:c>
    </x:row>
    <x:row r="7">
      <x:c r="A7" s="30" t="str">
        <x:v>Average actionable issues found per final scan</x:v>
      </x:c>
      <x:c r="B7" s="23" t="n">
        <x:v>8</x:v>
      </x:c>
      <x:c r="C7" s="22" t="str">
        <x:v>issues</x:v>
      </x:c>
      <x:c r="D7" s="22" t="str">
        <x:v>Average issues that require developer action before rollout</x:v>
      </x:c>
    </x:row>
    <x:row r="8">
      <x:c r="A8" s="30" t="str">
        <x:v>Share only found at final/server scan</x:v>
      </x:c>
      <x:c r="B8" s="26" t="n">
        <x:v>0.15</x:v>
      </x:c>
      <x:c r="C8" s="22" t="str">
        <x:v>%</x:v>
      </x:c>
      <x:c r="D8" s="22" t="str">
        <x:v>Security Hotspots / mandatory server-only checks that standalone IDE cannot eliminate</x:v>
      </x:c>
    </x:row>
    <x:row r="9">
      <x:c r="A9" s="30" t="str">
        <x:v>IDE catch rate on eligible issues</x:v>
      </x:c>
      <x:c r="B9" s="26" t="n">
        <x:v>0.65</x:v>
      </x:c>
      <x:c r="C9" s="22" t="str">
        <x:v>%</x:v>
      </x:c>
      <x:c r="D9" s="22" t="str">
        <x:v>Share of non-server-only issues detected and fixed while coding</x:v>
      </x:c>
    </x:row>
    <x:row r="10">
      <x:c r="A10" s="30" t="str">
        <x:v>Average fix time after scan</x:v>
      </x:c>
      <x:c r="B10" s="23" t="n">
        <x:v>30</x:v>
      </x:c>
      <x:c r="C10" s="22" t="str">
        <x:v>minutes / issue</x:v>
      </x:c>
      <x:c r="D10" s="22" t="str">
        <x:v>Time to understand and fix an issue after context has been lost</x:v>
      </x:c>
    </x:row>
    <x:row r="11">
      <x:c r="A11" s="30" t="str">
        <x:v>Average fix time on-the-fly</x:v>
      </x:c>
      <x:c r="B11" s="23" t="n">
        <x:v>20</x:v>
      </x:c>
      <x:c r="C11" s="22" t="str">
        <x:v>minutes / issue</x:v>
      </x:c>
      <x:c r="D11" s="22" t="str">
        <x:v>Time to fix while developer is still working in the code</x:v>
      </x:c>
    </x:row>
    <x:row r="12">
      <x:c r="A12" s="30" t="str">
        <x:v>Triage/report review after scan</x:v>
      </x:c>
      <x:c r="B12" s="23" t="n">
        <x:v>8</x:v>
      </x:c>
      <x:c r="C12" s="22" t="str">
        <x:v>minutes / issue</x:v>
      </x:c>
      <x:c r="D12" s="22" t="str">
        <x:v>Open report, understand rule, locate code, prioritize</x:v>
      </x:c>
    </x:row>
    <x:row r="13">
      <x:c r="A13" s="30" t="str">
        <x:v>On-the-fly triage</x:v>
      </x:c>
      <x:c r="B13" s="23" t="n">
        <x:v>2</x:v>
      </x:c>
      <x:c r="C13" s="22" t="str">
        <x:v>minutes / issue</x:v>
      </x:c>
      <x:c r="D13" s="22" t="str">
        <x:v>Read inline finding and remediation guidance</x:v>
      </x:c>
    </x:row>
    <x:row r="14">
      <x:c r="A14" s="30" t="str">
        <x:v>Context-switch penalty after scan</x:v>
      </x:c>
      <x:c r="B14" s="23" t="n">
        <x:v>10</x:v>
      </x:c>
      <x:c r="C14" s="22" t="str">
        <x:v>minutes / issue</x:v>
      </x:c>
      <x:c r="D14" s="22" t="str">
        <x:v>Time to return to old code / restore mental context</x:v>
      </x:c>
    </x:row>
    <x:row r="15">
      <x:c r="A15" s="30" t="str">
        <x:v>Scan + report handling per mandatory cycle</x:v>
      </x:c>
      <x:c r="B15" s="23" t="n">
        <x:v>20</x:v>
      </x:c>
      <x:c r="C15" s="22" t="str">
        <x:v>minutes / scan</x:v>
      </x:c>
      <x:c r="D15" s="22" t="str">
        <x:v>Run/check scan and review report regardless of issue count</x:v>
      </x:c>
    </x:row>
    <x:row r="16">
      <x:c r="A16" s="30" t="str">
        <x:v>Rescan/rework overhead without IDE</x:v>
      </x:c>
      <x:c r="B16" s="23" t="n">
        <x:v>15</x:v>
      </x:c>
      <x:c r="C16" s="22" t="str">
        <x:v>minutes / scan</x:v>
      </x:c>
      <x:c r="D16" s="22" t="str">
        <x:v>Typical rerun and validation effort after remediation</x:v>
      </x:c>
    </x:row>
    <x:row r="17">
      <x:c r="A17" s="30" t="str">
        <x:v>Rescan/rework overhead with IDE</x:v>
      </x:c>
      <x:c r="B17" s="23" t="n">
        <x:v>8</x:v>
      </x:c>
      <x:c r="C17" s="22" t="str">
        <x:v>minutes / scan</x:v>
      </x:c>
      <x:c r="D17" s="22" t="str">
        <x:v>Lower rework because fewer findings remain at final scan</x:v>
      </x:c>
    </x:row>
    <x:row r="18">
      <x:c r="A18" s="30" t="str">
        <x:v>Loaded developer cost</x:v>
      </x:c>
      <x:c r="B18" s="28" t="n">
        <x:v>85</x:v>
      </x:c>
      <x:c r="C18" s="22" t="str">
        <x:v>$ / hour</x:v>
      </x:c>
      <x:c r="D18" s="22" t="str">
        <x:v>Salary + benefits + overhead; replace with internal finance rate</x:v>
      </x:c>
    </x:row>
    <x:row r="19">
      <x:c r="A19" s="30" t="str">
        <x:v>Months per year</x:v>
      </x:c>
      <x:c r="B19" s="23" t="n">
        <x:v>12</x:v>
      </x:c>
      <x:c r="C19" s="22" t="str">
        <x:v>months</x:v>
      </x:c>
      <x:c r="D19" s="22" t="str">
        <x:v>Annualization factor</x:v>
      </x:c>
    </x:row>
    <x:row r="20">
      <x:c r="A20" s="30" t="str">
        <x:v>Setup/training effort per developer</x:v>
      </x:c>
      <x:c r="B20" s="23" t="n">
        <x:v>1</x:v>
      </x:c>
      <x:c r="C20" s="22" t="str">
        <x:v>hours</x:v>
      </x:c>
      <x:c r="D20" s="22" t="str">
        <x:v>Install/configure extension + short enablement</x:v>
      </x:c>
    </x:row>
    <x:row r="21">
      <x:c r="A21" s="30" t="str">
        <x:v>Central rollout / packaging effort</x:v>
      </x:c>
      <x:c r="B21" s="23" t="n">
        <x:v>12</x:v>
      </x:c>
      <x:c r="C21" s="22" t="str">
        <x:v>hours</x:v>
      </x:c>
      <x:c r="D21" s="22" t="str">
        <x:v>EPM packaging, JDK config, documentation and pilot support</x:v>
      </x:c>
    </x:row>
    <x:row r="22">
      <x:c r="A22" s="30" t="str">
        <x:v>Incremental phase-1 software cost</x:v>
      </x:c>
      <x:c r="B22" s="28" t="n">
        <x:v>0</x:v>
      </x:c>
      <x:c r="C22" s="22" t="str">
        <x:v>$</x:v>
      </x:c>
      <x:c r="D22" s="22" t="str">
        <x:v>Enter any internal tooling/licensing cost attributable to rollout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22" hidden="0" customWidth="1"/>
    <x:col min="4" max="4" width="22" hidden="0" customWidth="1"/>
  </x:cols>
  <x:sheetData>
    <x:row r="1">
      <x:c r="A1" s="55" t="str">
        <x:v>Monthly Cost &amp; Man-Hour Model</x:v>
      </x:c>
      <x:c r="B1" s="55"/>
      <x:c r="C1" s="55"/>
      <x:c r="D1" s="55"/>
      <x:c r="E1" s="3"/>
      <x:c r="F1" s="3"/>
      <x:c r="G1" s="3"/>
      <x:c r="H1" s="3"/>
    </x:row>
    <x:row r="2">
      <x:c r="A2" s="33" t="str">
        <x:v>The final SonarQube scan still runs for mandatory checks and Security Hotspots. The benefit comes from shifting eligible issue discovery and remediation earlier.</x:v>
      </x:c>
      <x:c r="B2" s="33"/>
      <x:c r="C2" s="33"/>
      <x:c r="D2" s="33"/>
      <x:c r="E2" s="33"/>
      <x:c r="F2" s="33"/>
      <x:c r="G2" s="33"/>
      <x:c r="H2" s="33"/>
    </x:row>
    <x:row r="3">
      <x:c r="A3" s="22"/>
      <x:c r="B3" s="22"/>
      <x:c r="C3" s="22"/>
      <x:c r="D3" s="22"/>
    </x:row>
    <x:row r="4">
      <x:c r="A4" s="56" t="str">
        <x:v>Metric</x:v>
      </x:c>
      <x:c r="B4" s="56" t="str">
        <x:v>Without IDE</x:v>
      </x:c>
      <x:c r="C4" s="56" t="str">
        <x:v>With IDE (Standalone)</x:v>
      </x:c>
      <x:c r="D4" s="56" t="str">
        <x:v>Difference / Benefit</x:v>
      </x:c>
    </x:row>
    <x:row r="5">
      <x:c r="A5" s="30" t="str">
        <x:v>Mandatory final scans / month</x:v>
      </x:c>
      <x:c r="B5" s="57" t="n">
        <x:f>Assumptions!B5*Assumptions!B6</x:f>
        <x:v>50</x:v>
      </x:c>
      <x:c r="C5" s="57" t="n">
        <x:f>B5</x:f>
        <x:v>50</x:v>
      </x:c>
      <x:c r="D5" s="58" t="n">
        <x:f>0</x:f>
        <x:v>0</x:v>
      </x:c>
    </x:row>
    <x:row r="6">
      <x:c r="A6" s="30" t="str">
        <x:v>Issues expected at final scan / month</x:v>
      </x:c>
      <x:c r="B6" s="57" t="n">
        <x:f>B5*Assumptions!B7</x:f>
        <x:v>400</x:v>
      </x:c>
      <x:c r="C6" s="57" t="n">
        <x:f>B6-(B6*(1-Assumptions!B8)*Assumptions!B9)</x:f>
        <x:v>179</x:v>
      </x:c>
      <x:c r="D6" s="58" t="n">
        <x:f>B6-C6</x:f>
        <x:v>221</x:v>
      </x:c>
    </x:row>
    <x:row r="7">
      <x:c r="A7" s="30" t="str">
        <x:v>Issues fixed on-the-fly / month</x:v>
      </x:c>
      <x:c r="B7" s="57" t="n">
        <x:v>0</x:v>
      </x:c>
      <x:c r="C7" s="57" t="n">
        <x:f>B6-C6</x:f>
        <x:v>221</x:v>
      </x:c>
      <x:c r="D7" s="58" t="n">
        <x:f>C7</x:f>
        <x:v>221</x:v>
      </x:c>
    </x:row>
    <x:row r="8">
      <x:c r="A8" s="30" t="str">
        <x:v>Late issues reduced</x:v>
      </x:c>
      <x:c r="B8" s="59" t="n">
        <x:v>0</x:v>
      </x:c>
      <x:c r="C8" s="59" t="n">
        <x:f>IF(B6=0,0,(B6-C6)/B6)</x:f>
        <x:v>0.5525</x:v>
      </x:c>
      <x:c r="D8" s="60" t="n">
        <x:f>C8</x:f>
        <x:v>0.5525</x:v>
      </x:c>
    </x:row>
    <x:row r="9">
      <x:c r="A9" s="30" t="str">
        <x:v>Issue remediation hours / month</x:v>
      </x:c>
      <x:c r="B9" s="57" t="n">
        <x:f>B6*(Assumptions!B10+Assumptions!B12+Assumptions!B14)/60</x:f>
        <x:v>320</x:v>
      </x:c>
      <x:c r="C9" s="57" t="n">
        <x:f>C7*(Assumptions!B11+Assumptions!B13)/60+C6*(Assumptions!B10+Assumptions!B12+Assumptions!B14)/60</x:f>
        <x:v>224.23333333333332</x:v>
      </x:c>
      <x:c r="D9" s="58" t="n">
        <x:f>B9-C9</x:f>
        <x:v>95.76666666666668</x:v>
      </x:c>
    </x:row>
    <x:row r="10">
      <x:c r="A10" s="30" t="str">
        <x:v>Mandatory scan/report hours / month</x:v>
      </x:c>
      <x:c r="B10" s="57" t="n">
        <x:f>B5*Assumptions!B15/60</x:f>
        <x:v>16.666666666666668</x:v>
      </x:c>
      <x:c r="C10" s="57" t="n">
        <x:f>C5*Assumptions!B15/60</x:f>
        <x:v>16.666666666666668</x:v>
      </x:c>
      <x:c r="D10" s="58" t="n">
        <x:f>B10-C10</x:f>
        <x:v>0</x:v>
      </x:c>
    </x:row>
    <x:row r="11">
      <x:c r="A11" s="30" t="str">
        <x:v>Rescan/rework hours / month</x:v>
      </x:c>
      <x:c r="B11" s="57" t="n">
        <x:f>B5*Assumptions!B16/60</x:f>
        <x:v>12.5</x:v>
      </x:c>
      <x:c r="C11" s="57" t="n">
        <x:f>C5*Assumptions!B17/60</x:f>
        <x:v>6.666666666666667</x:v>
      </x:c>
      <x:c r="D11" s="58" t="n">
        <x:f>B11-C11</x:f>
        <x:v>5.833333333333333</x:v>
      </x:c>
    </x:row>
    <x:row r="12">
      <x:c r="A12" s="30" t="str">
        <x:v>Total engineering hours / month</x:v>
      </x:c>
      <x:c r="B12" s="57" t="n">
        <x:f>SUM(B9:B11)</x:f>
        <x:v>349.1666666666667</x:v>
      </x:c>
      <x:c r="C12" s="57" t="n">
        <x:f>SUM(C9:C11)</x:f>
        <x:v>247.56666666666663</x:v>
      </x:c>
      <x:c r="D12" s="58" t="n">
        <x:f>B12-C12</x:f>
        <x:v>101.60000000000005</x:v>
      </x:c>
    </x:row>
    <x:row r="13">
      <x:c r="A13" s="30" t="str">
        <x:v>Engineering cost / month</x:v>
      </x:c>
      <x:c r="B13" s="61" t="n">
        <x:f>B12*Assumptions!B18</x:f>
        <x:v>29679.166666666668</x:v>
      </x:c>
      <x:c r="C13" s="61" t="n">
        <x:f>C12*Assumptions!B18</x:f>
        <x:v>21043.166666666664</x:v>
      </x:c>
      <x:c r="D13" s="62" t="n">
        <x:f>B13-C13</x:f>
        <x:v>8636.000000000004</x:v>
      </x:c>
    </x:row>
    <x:row r="14">
      <x:c r="A14" s="30" t="str">
        <x:v>Hours saved / month</x:v>
      </x:c>
      <x:c r="B14" s="22" t="n">
        <x:v>0</x:v>
      </x:c>
      <x:c r="C14" s="22" t="n">
        <x:v>0</x:v>
      </x:c>
      <x:c r="D14" s="58" t="n">
        <x:f>D12</x:f>
        <x:v>101.60000000000005</x:v>
      </x:c>
    </x:row>
    <x:row r="15">
      <x:c r="A15" s="30" t="str">
        <x:v>Cost saved / month</x:v>
      </x:c>
      <x:c r="B15" s="22" t="n">
        <x:v>0</x:v>
      </x:c>
      <x:c r="C15" s="22" t="n">
        <x:v>0</x:v>
      </x:c>
      <x:c r="D15" s="62" t="n">
        <x:f>D13</x:f>
        <x:v>8636.000000000004</x:v>
      </x:c>
    </x:row>
    <x:row r="16">
      <x:c r="A16" s="30" t="str">
        <x:v>Annual hours saved</x:v>
      </x:c>
      <x:c r="B16" s="22" t="n">
        <x:v>0</x:v>
      </x:c>
      <x:c r="C16" s="22" t="n">
        <x:v>0</x:v>
      </x:c>
      <x:c r="D16" s="63" t="n">
        <x:f>D14*Assumptions!B19</x:f>
        <x:v>1219.2000000000007</x:v>
      </x:c>
    </x:row>
    <x:row r="17">
      <x:c r="A17" s="30" t="str">
        <x:v>Annual gross cost saved</x:v>
      </x:c>
      <x:c r="B17" s="22" t="n">
        <x:v>0</x:v>
      </x:c>
      <x:c r="C17" s="22" t="n">
        <x:v>0</x:v>
      </x:c>
      <x:c r="D17" s="62" t="n">
        <x:f>D15*Assumptions!B19</x:f>
        <x:v>103632.00000000004</x:v>
      </x:c>
    </x:row>
    <x:row r="18">
      <x:c r="A18" s="30" t="str">
        <x:v>One-time rollout hours</x:v>
      </x:c>
      <x:c r="B18" s="22"/>
      <x:c r="C18" s="22"/>
      <x:c r="D18" s="58" t="n">
        <x:f>Assumptions!B5*Assumptions!B20+Assumptions!B21</x:f>
        <x:v>37</x:v>
      </x:c>
    </x:row>
    <x:row r="19">
      <x:c r="A19" s="30" t="str">
        <x:v>One-time rollout cost</x:v>
      </x:c>
      <x:c r="B19" s="22"/>
      <x:c r="C19" s="22"/>
      <x:c r="D19" s="62" t="n">
        <x:f>D18*Assumptions!B18+Assumptions!B22</x:f>
        <x:v>3145</x:v>
      </x:c>
    </x:row>
    <x:row r="20">
      <x:c r="A20" s="30" t="str">
        <x:v>First-year net savings</x:v>
      </x:c>
      <x:c r="B20" s="22"/>
      <x:c r="C20" s="22"/>
      <x:c r="D20" s="62" t="n">
        <x:f>D17-D19</x:f>
        <x:v>100487.00000000004</x:v>
      </x:c>
    </x:row>
    <x:row r="21">
      <x:c r="A21" s="30" t="str">
        <x:v>Payback period (months)</x:v>
      </x:c>
      <x:c r="B21" s="22"/>
      <x:c r="C21" s="22"/>
      <x:c r="D21" s="58" t="n">
        <x:f>IF(D15&lt;=0,"N/A",D19/D15)</x:f>
        <x:v>0.36417322834645655</x:v>
      </x:c>
    </x:row>
  </x:sheetData>
  <x:mergeCells>
    <x:mergeCell ref="A1:H1"/>
    <x:mergeCell ref="A2:H2"/>
  </x:mergeCells>
  <x:conditionalFormatting sqref="D14:D2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{4D209BB4-CDA1-DA61-3CC9-FEB9D8FF1DBC}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D209BB4-CDA1-DA61-3CC9-FEB9D8FF1DBC}">
            <x14:dataBar gradient="1">
              <x14:cfvo type="min"/>
              <x14:cfvo type="max"/>
              <x14:fillColor rgb="FFA02B93"/>
            </x14:dataBar>
          </x14:cfRule>
          <xm:sqref>D14:D20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0" hidden="0" customWidth="1"/>
    <x:col min="5" max="5" width="20" hidden="0" customWidth="1"/>
    <x:col min="6" max="6" width="18" hidden="0" customWidth="1"/>
  </x:cols>
  <x:sheetData>
    <x:row r="1">
      <x:c r="A1" s="3" t="str">
        <x:v>Sensitivity — IDE Catch Rate</x:v>
      </x:c>
      <x:c r="B1" s="3"/>
      <x:c r="C1" s="3"/>
      <x:c r="D1" s="3"/>
      <x:c r="E1" s="3"/>
      <x:c r="F1" s="3"/>
      <x:c r="G1" s="3"/>
    </x:row>
    <x:row r="2">
      <x:c r="A2" s="32" t="str">
        <x:v>Shows how the business case changes if the pilot catches fewer or more eligible issues before the mandatory final scan.</x:v>
      </x:c>
      <x:c r="B2" s="32"/>
      <x:c r="C2" s="32"/>
      <x:c r="D2" s="32"/>
      <x:c r="E2" s="32"/>
      <x:c r="F2" s="32"/>
      <x:c r="G2" s="32"/>
    </x:row>
    <x:row r="4">
      <x:c r="A4" s="14" t="str">
        <x:v>IDE catch rate</x:v>
      </x:c>
      <x:c r="B4" s="14" t="str">
        <x:v>Issues caught early / month</x:v>
      </x:c>
      <x:c r="C4" s="14" t="str">
        <x:v>Final-scan issues / month</x:v>
      </x:c>
      <x:c r="D4" s="14" t="str">
        <x:v>Hours saved / month</x:v>
      </x:c>
      <x:c r="E4" s="14" t="str">
        <x:v>Annual cost saved</x:v>
      </x:c>
      <x:c r="F4" s="14" t="str">
        <x:v>Payback (months)</x:v>
      </x:c>
    </x:row>
    <x:row r="5">
      <x:c r="A5" s="40" t="n">
        <x:v>0.4</x:v>
      </x:c>
      <x:c r="B5" s="38" t="n">
        <x:f>(Assumptions!B5*Assumptions!B6*Assumptions!B7)*(1-Assumptions!B8)*A5</x:f>
        <x:v>136</x:v>
      </x:c>
      <x:c r="C5" s="38" t="n">
        <x:f>(Assumptions!B5*Assumptions!B6*Assumptions!B7)-B5</x:f>
        <x:v>264</x:v>
      </x:c>
      <x:c r="D5" s="38" t="n">
        <x:f>((Assumptions!B5*Assumptions!B6*Assumptions!B7)*(Assumptions!B10+Assumptions!B12+Assumptions!B14)/60+(Assumptions!B5*Assumptions!B6)*Assumptions!B15/60+(Assumptions!B5*Assumptions!B6)*Assumptions!B16/60)-(B5*(Assumptions!B11+Assumptions!B13)/60+C5*(Assumptions!B10+Assumptions!B12+Assumptions!B14)/60+(Assumptions!B5*Assumptions!B6)*Assumptions!B15/60+(Assumptions!B5*Assumptions!B6)*Assumptions!B17/60)</x:f>
        <x:v>64.76666666666665</x:v>
      </x:c>
      <x:c r="E5" s="42" t="n">
        <x:f>D5*Assumptions!B18*Assumptions!B19</x:f>
        <x:v>66061.99999999999</x:v>
      </x:c>
      <x:c r="F5" s="38" t="n">
        <x:f>IF(D5&lt;=0,"N/A",((Assumptions!B5*Assumptions!B20+Assumptions!B21)*Assumptions!B18+Assumptions!B22)/(D5*Assumptions!B18))</x:f>
        <x:v>0.5712815234173959</x:v>
      </x:c>
    </x:row>
    <x:row r="6">
      <x:c r="A6" s="40" t="n">
        <x:v>0.5</x:v>
      </x:c>
      <x:c r="B6" s="38" t="n">
        <x:f>(Assumptions!B5*Assumptions!B6*Assumptions!B7)*(1-Assumptions!B8)*A6</x:f>
        <x:v>170</x:v>
      </x:c>
      <x:c r="C6" s="38" t="n">
        <x:f>(Assumptions!B5*Assumptions!B6*Assumptions!B7)-B6</x:f>
        <x:v>230</x:v>
      </x:c>
      <x:c r="D6" s="38" t="n">
        <x:f>((Assumptions!B5*Assumptions!B6*Assumptions!B7)*(Assumptions!B10+Assumptions!B12+Assumptions!B14)/60+(Assumptions!B5*Assumptions!B6)*Assumptions!B15/60+(Assumptions!B5*Assumptions!B6)*Assumptions!B16/60)-(B6*(Assumptions!B11+Assumptions!B13)/60+C6*(Assumptions!B10+Assumptions!B12+Assumptions!B14)/60+(Assumptions!B5*Assumptions!B6)*Assumptions!B15/60+(Assumptions!B5*Assumptions!B6)*Assumptions!B17/60)</x:f>
        <x:v>79.5</x:v>
      </x:c>
      <x:c r="E6" s="42" t="n">
        <x:f>D6*Assumptions!B18*Assumptions!B19</x:f>
        <x:v>81090</x:v>
      </x:c>
      <x:c r="F6" s="38" t="n">
        <x:f>IF(D6&lt;=0,"N/A",((Assumptions!B5*Assumptions!B20+Assumptions!B21)*Assumptions!B18+Assumptions!B22)/(D6*Assumptions!B18))</x:f>
        <x:v>0.46540880503144655</x:v>
      </x:c>
    </x:row>
    <x:row r="7">
      <x:c r="A7" s="40" t="n">
        <x:v>0.6</x:v>
      </x:c>
      <x:c r="B7" s="38" t="n">
        <x:f>(Assumptions!B5*Assumptions!B6*Assumptions!B7)*(1-Assumptions!B8)*A7</x:f>
        <x:v>204</x:v>
      </x:c>
      <x:c r="C7" s="38" t="n">
        <x:f>(Assumptions!B5*Assumptions!B6*Assumptions!B7)-B7</x:f>
        <x:v>196</x:v>
      </x:c>
      <x:c r="D7" s="38" t="n">
        <x:f>((Assumptions!B5*Assumptions!B6*Assumptions!B7)*(Assumptions!B10+Assumptions!B12+Assumptions!B14)/60+(Assumptions!B5*Assumptions!B6)*Assumptions!B15/60+(Assumptions!B5*Assumptions!B6)*Assumptions!B16/60)-(B7*(Assumptions!B11+Assumptions!B13)/60+C7*(Assumptions!B10+Assumptions!B12+Assumptions!B14)/60+(Assumptions!B5*Assumptions!B6)*Assumptions!B15/60+(Assumptions!B5*Assumptions!B6)*Assumptions!B17/60)</x:f>
        <x:v>94.23333333333335</x:v>
      </x:c>
      <x:c r="E7" s="42" t="n">
        <x:f>D7*Assumptions!B18*Assumptions!B19</x:f>
        <x:v>96118.00000000001</x:v>
      </x:c>
      <x:c r="F7" s="38" t="n">
        <x:f>IF(D7&lt;=0,"N/A",((Assumptions!B5*Assumptions!B20+Assumptions!B21)*Assumptions!B18+Assumptions!B22)/(D7*Assumptions!B18))</x:f>
        <x:v>0.3926423770781747</x:v>
      </x:c>
    </x:row>
    <x:row r="8">
      <x:c r="A8" s="40" t="n">
        <x:v>0.65</x:v>
      </x:c>
      <x:c r="B8" s="38" t="n">
        <x:f>(Assumptions!B5*Assumptions!B6*Assumptions!B7)*(1-Assumptions!B8)*A8</x:f>
        <x:v>221</x:v>
      </x:c>
      <x:c r="C8" s="38" t="n">
        <x:f>(Assumptions!B5*Assumptions!B6*Assumptions!B7)-B8</x:f>
        <x:v>179</x:v>
      </x:c>
      <x:c r="D8" s="38" t="n">
        <x:f>((Assumptions!B5*Assumptions!B6*Assumptions!B7)*(Assumptions!B10+Assumptions!B12+Assumptions!B14)/60+(Assumptions!B5*Assumptions!B6)*Assumptions!B15/60+(Assumptions!B5*Assumptions!B6)*Assumptions!B16/60)-(B8*(Assumptions!B11+Assumptions!B13)/60+C8*(Assumptions!B10+Assumptions!B12+Assumptions!B14)/60+(Assumptions!B5*Assumptions!B6)*Assumptions!B15/60+(Assumptions!B5*Assumptions!B6)*Assumptions!B17/60)</x:f>
        <x:v>101.60000000000005</x:v>
      </x:c>
      <x:c r="E8" s="42" t="n">
        <x:f>D8*Assumptions!B18*Assumptions!B19</x:f>
        <x:v>103632.00000000004</x:v>
      </x:c>
      <x:c r="F8" s="38" t="n">
        <x:f>IF(D8&lt;=0,"N/A",((Assumptions!B5*Assumptions!B20+Assumptions!B21)*Assumptions!B18+Assumptions!B22)/(D8*Assumptions!B18))</x:f>
        <x:v>0.36417322834645655</x:v>
      </x:c>
    </x:row>
    <x:row r="9">
      <x:c r="A9" s="40" t="n">
        <x:v>0.7</x:v>
      </x:c>
      <x:c r="B9" s="38" t="n">
        <x:f>(Assumptions!B5*Assumptions!B6*Assumptions!B7)*(1-Assumptions!B8)*A9</x:f>
        <x:v>237.99999999999997</x:v>
      </x:c>
      <x:c r="C9" s="38" t="n">
        <x:f>(Assumptions!B5*Assumptions!B6*Assumptions!B7)-B9</x:f>
        <x:v>162.00000000000003</x:v>
      </x:c>
      <x:c r="D9" s="38" t="n">
        <x:f>((Assumptions!B5*Assumptions!B6*Assumptions!B7)*(Assumptions!B10+Assumptions!B12+Assumptions!B14)/60+(Assumptions!B5*Assumptions!B6)*Assumptions!B15/60+(Assumptions!B5*Assumptions!B6)*Assumptions!B16/60)-(B9*(Assumptions!B11+Assumptions!B13)/60+C9*(Assumptions!B10+Assumptions!B12+Assumptions!B14)/60+(Assumptions!B5*Assumptions!B6)*Assumptions!B15/60+(Assumptions!B5*Assumptions!B6)*Assumptions!B17/60)</x:f>
        <x:v>108.9666666666667</x:v>
      </x:c>
      <x:c r="E9" s="42" t="n">
        <x:f>D9*Assumptions!B18*Assumptions!B19</x:f>
        <x:v>111146.00000000003</x:v>
      </x:c>
      <x:c r="F9" s="38" t="n">
        <x:f>IF(D9&lt;=0,"N/A",((Assumptions!B5*Assumptions!B20+Assumptions!B21)*Assumptions!B18+Assumptions!B22)/(D9*Assumptions!B18))</x:f>
        <x:v>0.339553380238605</x:v>
      </x:c>
    </x:row>
    <x:row r="10">
      <x:c r="A10" s="40" t="n">
        <x:v>0.8</x:v>
      </x:c>
      <x:c r="B10" s="38" t="n">
        <x:f>(Assumptions!B5*Assumptions!B6*Assumptions!B7)*(1-Assumptions!B8)*A10</x:f>
        <x:v>272</x:v>
      </x:c>
      <x:c r="C10" s="38" t="n">
        <x:f>(Assumptions!B5*Assumptions!B6*Assumptions!B7)-B10</x:f>
        <x:v>128</x:v>
      </x:c>
      <x:c r="D10" s="38" t="n">
        <x:f>((Assumptions!B5*Assumptions!B6*Assumptions!B7)*(Assumptions!B10+Assumptions!B12+Assumptions!B14)/60+(Assumptions!B5*Assumptions!B6)*Assumptions!B15/60+(Assumptions!B5*Assumptions!B6)*Assumptions!B16/60)-(B10*(Assumptions!B11+Assumptions!B13)/60+C10*(Assumptions!B10+Assumptions!B12+Assumptions!B14)/60+(Assumptions!B5*Assumptions!B6)*Assumptions!B15/60+(Assumptions!B5*Assumptions!B6)*Assumptions!B17/60)</x:f>
        <x:v>123.70000000000005</x:v>
      </x:c>
      <x:c r="E10" s="42" t="n">
        <x:f>D10*Assumptions!B18*Assumptions!B19</x:f>
        <x:v>126174.00000000004</x:v>
      </x:c>
      <x:c r="F10" s="38" t="n">
        <x:f>IF(D10&lt;=0,"N/A",((Assumptions!B5*Assumptions!B20+Assumptions!B21)*Assumptions!B18+Assumptions!B22)/(D10*Assumptions!B18))</x:f>
        <x:v>0.2991107518189166</x:v>
      </x:c>
    </x:row>
  </x:sheetData>
  <x:mergeCells>
    <x:mergeCell ref="A1:G1"/>
    <x:mergeCell ref="A2:G2"/>
  </x:mergeCells>
  <x:conditionalFormatting sqref="E5:E1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{CA7EAD3D-152C-A73D-029B-A758A525B9E6}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A7EAD3D-152C-A73D-029B-A758A525B9E6}">
            <x14:dataBar gradient="1">
              <x14:cfvo type="min"/>
              <x14:cfvo type="max"/>
              <x14:fillColor rgb="FFA02B93"/>
            </x14:dataBar>
          </x14:cfRule>
          <xm:sqref>E5:E10</xm:sqref>
        </x14:conditionalFormatting>
      </x14:conditionalFormattings>
    </x:ext>
  </x:extLst>
</x:worksheet>
</file>